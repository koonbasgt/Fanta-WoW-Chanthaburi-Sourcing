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BB2DE88B-B9C4-FE48-B49A-F83041EED47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ecutive Dashboar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9" i="1"/>
  <c r="B29" i="1"/>
  <c r="D21" i="1"/>
  <c r="C21" i="1"/>
  <c r="B21" i="1"/>
  <c r="E2" i="1"/>
  <c r="E18" i="1"/>
  <c r="E20" i="1"/>
  <c r="D8" i="1"/>
  <c r="D12" i="1"/>
  <c r="D13" i="1"/>
  <c r="D15" i="1"/>
  <c r="D18" i="1"/>
  <c r="D20" i="1"/>
  <c r="C8" i="1"/>
  <c r="C13" i="1"/>
  <c r="C15" i="1"/>
  <c r="C18" i="1"/>
  <c r="C20" i="1"/>
  <c r="B8" i="1"/>
  <c r="B13" i="1"/>
  <c r="B15" i="1"/>
  <c r="B18" i="1"/>
  <c r="B20" i="1"/>
  <c r="E19" i="1"/>
  <c r="D19" i="1"/>
  <c r="C19" i="1"/>
  <c r="B19" i="1"/>
  <c r="E15" i="1"/>
  <c r="E16" i="1"/>
  <c r="D16" i="1"/>
  <c r="C16" i="1"/>
  <c r="B16" i="1"/>
  <c r="E3" i="1"/>
  <c r="E21" i="1"/>
</calcChain>
</file>

<file path=xl/sharedStrings.xml><?xml version="1.0" encoding="utf-8"?>
<sst xmlns="http://schemas.openxmlformats.org/spreadsheetml/2006/main" count="33" uniqueCount="33">
  <si>
    <t>SKU / Flavor Name</t>
  </si>
  <si>
    <t>Chanthaburi Gold Pineapple</t>
  </si>
  <si>
    <t>Lychee-Lime Tropical</t>
  </si>
  <si>
    <t>Durian-Banana Limited</t>
  </si>
  <si>
    <t>Portfolio Total / Blended</t>
  </si>
  <si>
    <t>SRP ($/Unit)</t>
  </si>
  <si>
    <t>Forecast Sales Mix</t>
  </si>
  <si>
    <t>Direct Fruit Concentrate</t>
  </si>
  <si>
    <t>Base Liquid Beverage Syrup</t>
  </si>
  <si>
    <t>Packaging &amp; WoW Code Printing</t>
  </si>
  <si>
    <t>Total Direct COGS</t>
  </si>
  <si>
    <t>Generic IT Tech Infrastructure Cost</t>
  </si>
  <si>
    <t>Marketing Campaign Allocation</t>
  </si>
  <si>
    <t>Channel GP &amp; Freight Allowance</t>
  </si>
  <si>
    <t>Total Landed Cost</t>
  </si>
  <si>
    <t>Net Brand Profit per Unit</t>
  </si>
  <si>
    <t>Gross Margin (%)</t>
  </si>
  <si>
    <t>Breakeven Volume (Units)</t>
  </si>
  <si>
    <t>Fruit Price Sensitivity (+20%)</t>
  </si>
  <si>
    <t>Stress-Tested Gross Margin</t>
  </si>
  <si>
    <t>Local Farm Revenue Share ($)</t>
  </si>
  <si>
    <t>ESG Sustainability Score</t>
  </si>
  <si>
    <t>85/100</t>
  </si>
  <si>
    <t>88/100</t>
  </si>
  <si>
    <t>95/100</t>
  </si>
  <si>
    <t>86.9/100</t>
  </si>
  <si>
    <t>Inbound Supply Chain Cost Structure</t>
  </si>
  <si>
    <t>Cost Component</t>
  </si>
  <si>
    <t>Global Import ($)</t>
  </si>
  <si>
    <t>Local Hub ($)</t>
  </si>
  <si>
    <t>Raw Material COGS</t>
  </si>
  <si>
    <t>Inbound Logistics</t>
  </si>
  <si>
    <t>Total Inbound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</si>
</sst>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4"/>
      <color rgb="FF1F4E7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1F5"/>
        <bgColor rgb="FFEBF1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0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10" fontId="3" fillId="3" borderId="1" xfId="0" applyNumberFormat="1" applyFont="1" applyFill="1" applyBorder="1" applyAlignment="1">
      <alignment horizontal="right" vertic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COGS &amp; Inbound Logistics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Dashboard'!B26</c:f>
              <c:strCache>
                <c:ptCount val="1"/>
                <c:pt idx="0">
                  <c:v>Global Import ($)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'Executive Dashboard'!$A$27:$A$29</c:f>
              <c:strCache>
                <c:ptCount val="3"/>
                <c:pt idx="0">
                  <c:v>Raw Material COGS</c:v>
                </c:pt>
                <c:pt idx="1">
                  <c:v>Inbound Logistics</c:v>
                </c:pt>
                <c:pt idx="2">
                  <c:v>Total Inbound Cost</c:v>
                </c:pt>
              </c:strCache>
            </c:strRef>
          </c:cat>
          <c:val>
            <c:numRef>
              <c:f>'Executive Dashboard'!$B$27:$B$29</c:f>
              <c:numCache>
                <c:formatCode>\$#,##0.00</c:formatCode>
                <c:ptCount val="3"/>
                <c:pt idx="0">
                  <c:v>0.09</c:v>
                </c:pt>
                <c:pt idx="1">
                  <c:v>0.05</c:v>
                </c:pt>
                <c:pt idx="2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B-3B4A-95AE-F74F81089361}"/>
            </c:ext>
          </c:extLst>
        </c:ser>
        <c:ser>
          <c:idx val="1"/>
          <c:order val="1"/>
          <c:tx>
            <c:strRef>
              <c:f>'Executive Dashboard'!C26</c:f>
              <c:strCache>
                <c:ptCount val="1"/>
                <c:pt idx="0">
                  <c:v>Local Hub ($)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'Executive Dashboard'!$A$27:$A$29</c:f>
              <c:strCache>
                <c:ptCount val="3"/>
                <c:pt idx="0">
                  <c:v>Raw Material COGS</c:v>
                </c:pt>
                <c:pt idx="1">
                  <c:v>Inbound Logistics</c:v>
                </c:pt>
                <c:pt idx="2">
                  <c:v>Total Inbound Cost</c:v>
                </c:pt>
              </c:strCache>
            </c:strRef>
          </c:cat>
          <c:val>
            <c:numRef>
              <c:f>'Executive Dashboard'!$C$27:$C$29</c:f>
              <c:numCache>
                <c:formatCode>\$#,##0.00</c:formatCode>
                <c:ptCount val="3"/>
                <c:pt idx="0">
                  <c:v>0.05</c:v>
                </c:pt>
                <c:pt idx="1">
                  <c:v>0.01</c:v>
                </c:pt>
                <c:pt idx="2">
                  <c:v>6.0000000000000005E-2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B-3B4A-95AE-F74F81089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Cost Component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Cost per Unit ($)</a:t>
                </a:r>
              </a:p>
            </c:rich>
          </c:tx>
          <c:overlay val="0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/>
  </sheetViews>
  <sheetFormatPr defaultRowHeight="15" x14ac:dyDescent="0.2"/>
  <cols>
    <col min="1" max="1" width="32.015625" customWidth="1"/>
    <col min="2" max="2" width="29.0546875" customWidth="1"/>
    <col min="3" max="3" width="23" customWidth="1"/>
    <col min="4" max="4" width="23.9453125" customWidth="1"/>
    <col min="5" max="5" width="29.9960937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>
        <v>1.25</v>
      </c>
      <c r="C2" s="3">
        <v>1.5</v>
      </c>
      <c r="D2" s="3">
        <v>2.5</v>
      </c>
      <c r="E2" s="3">
        <f>AVERAGE(B2:D2)</f>
        <v>1.75</v>
      </c>
    </row>
    <row r="3" spans="1:5" x14ac:dyDescent="0.2">
      <c r="A3" s="2" t="s">
        <v>6</v>
      </c>
      <c r="B3" s="4">
        <v>0.6</v>
      </c>
      <c r="C3" s="4">
        <v>0.3</v>
      </c>
      <c r="D3" s="4">
        <v>0.1</v>
      </c>
      <c r="E3" s="4">
        <f>SUM(B3:D3)</f>
        <v>0.99999999999999989</v>
      </c>
    </row>
    <row r="4" spans="1:5" x14ac:dyDescent="0.2">
      <c r="A4" s="2"/>
      <c r="B4" s="5"/>
      <c r="C4" s="5"/>
      <c r="D4" s="5"/>
      <c r="E4" s="5"/>
    </row>
    <row r="5" spans="1:5" x14ac:dyDescent="0.2">
      <c r="A5" s="2" t="s">
        <v>7</v>
      </c>
      <c r="B5" s="3">
        <v>0.05</v>
      </c>
      <c r="C5" s="3">
        <v>7.0000000000000007E-2</v>
      </c>
      <c r="D5" s="3">
        <v>0.08</v>
      </c>
      <c r="E5" s="5"/>
    </row>
    <row r="6" spans="1:5" x14ac:dyDescent="0.2">
      <c r="A6" s="2" t="s">
        <v>8</v>
      </c>
      <c r="B6" s="3">
        <v>0.03</v>
      </c>
      <c r="C6" s="3">
        <v>0.03</v>
      </c>
      <c r="D6" s="3">
        <v>0.03</v>
      </c>
      <c r="E6" s="5"/>
    </row>
    <row r="7" spans="1:5" x14ac:dyDescent="0.2">
      <c r="A7" s="2" t="s">
        <v>9</v>
      </c>
      <c r="B7" s="3">
        <v>0.09</v>
      </c>
      <c r="C7" s="3">
        <v>0.09</v>
      </c>
      <c r="D7" s="3">
        <v>0.12</v>
      </c>
      <c r="E7" s="5"/>
    </row>
    <row r="8" spans="1:5" x14ac:dyDescent="0.2">
      <c r="A8" s="6" t="s">
        <v>10</v>
      </c>
      <c r="B8" s="7">
        <f>SUM(B5:B7)</f>
        <v>0.16999999999999998</v>
      </c>
      <c r="C8" s="7">
        <f>SUM(C5:C7)</f>
        <v>0.19</v>
      </c>
      <c r="D8" s="7">
        <f>SUM(D5:D7)</f>
        <v>0.22999999999999998</v>
      </c>
      <c r="E8" s="8"/>
    </row>
    <row r="9" spans="1:5" x14ac:dyDescent="0.2">
      <c r="A9" s="2"/>
      <c r="B9" s="5"/>
      <c r="C9" s="5"/>
      <c r="D9" s="5"/>
      <c r="E9" s="5"/>
    </row>
    <row r="10" spans="1:5" x14ac:dyDescent="0.2">
      <c r="A10" s="2" t="s">
        <v>11</v>
      </c>
      <c r="B10" s="3">
        <v>0.04</v>
      </c>
      <c r="C10" s="3">
        <v>0.04</v>
      </c>
      <c r="D10" s="3">
        <v>0.04</v>
      </c>
      <c r="E10" s="5"/>
    </row>
    <row r="11" spans="1:5" x14ac:dyDescent="0.2">
      <c r="A11" s="2" t="s">
        <v>12</v>
      </c>
      <c r="B11" s="3">
        <v>0.05</v>
      </c>
      <c r="C11" s="3">
        <v>0.05</v>
      </c>
      <c r="D11" s="3">
        <v>0.02</v>
      </c>
      <c r="E11" s="5"/>
    </row>
    <row r="12" spans="1:5" x14ac:dyDescent="0.2">
      <c r="A12" s="2" t="s">
        <v>13</v>
      </c>
      <c r="B12" s="3">
        <v>0.38</v>
      </c>
      <c r="C12" s="3">
        <v>0.45</v>
      </c>
      <c r="D12" s="3">
        <f>D2*0.25</f>
        <v>0.625</v>
      </c>
      <c r="E12" s="5"/>
    </row>
    <row r="13" spans="1:5" x14ac:dyDescent="0.2">
      <c r="A13" s="6" t="s">
        <v>14</v>
      </c>
      <c r="B13" s="7">
        <f>B8+B10+B11+B12</f>
        <v>0.64</v>
      </c>
      <c r="C13" s="7">
        <f>C8+C10+C11+C12</f>
        <v>0.73</v>
      </c>
      <c r="D13" s="7">
        <f>D8+D10+D11+D12</f>
        <v>0.91500000000000004</v>
      </c>
      <c r="E13" s="8"/>
    </row>
    <row r="14" spans="1:5" x14ac:dyDescent="0.2">
      <c r="A14" s="2"/>
      <c r="B14" s="5"/>
      <c r="C14" s="5"/>
      <c r="D14" s="5"/>
      <c r="E14" s="5"/>
    </row>
    <row r="15" spans="1:5" x14ac:dyDescent="0.2">
      <c r="A15" s="6" t="s">
        <v>15</v>
      </c>
      <c r="B15" s="7">
        <f>B2-B13</f>
        <v>0.61</v>
      </c>
      <c r="C15" s="7">
        <f>C2-C13</f>
        <v>0.77</v>
      </c>
      <c r="D15" s="7">
        <f>D2-D13</f>
        <v>1.585</v>
      </c>
      <c r="E15" s="7">
        <f>SUMPRODUCT(B15:D15, B3:D3)</f>
        <v>0.75549999999999995</v>
      </c>
    </row>
    <row r="16" spans="1:5" x14ac:dyDescent="0.2">
      <c r="A16" s="6" t="s">
        <v>16</v>
      </c>
      <c r="B16" s="9">
        <f>B15/B2</f>
        <v>0.48799999999999999</v>
      </c>
      <c r="C16" s="9">
        <f>C15/C2</f>
        <v>0.51333333333333331</v>
      </c>
      <c r="D16" s="9">
        <f>D15/D2</f>
        <v>0.63400000000000001</v>
      </c>
      <c r="E16" s="9">
        <f>E15/AVERAGE(B2:D2)</f>
        <v>0.43171428571428566</v>
      </c>
    </row>
    <row r="17" spans="1:5" x14ac:dyDescent="0.2">
      <c r="A17" s="2"/>
      <c r="B17" s="5"/>
      <c r="C17" s="5"/>
      <c r="D17" s="5"/>
      <c r="E17" s="5"/>
    </row>
    <row r="18" spans="1:5" x14ac:dyDescent="0.2">
      <c r="A18" s="2" t="s">
        <v>17</v>
      </c>
      <c r="B18" s="3">
        <f>B11/B15</f>
        <v>8.1967213114754106E-2</v>
      </c>
      <c r="C18" s="3">
        <f>C11/C15</f>
        <v>6.4935064935064943E-2</v>
      </c>
      <c r="D18" s="3">
        <f>D11/D15</f>
        <v>1.2618296529968456E-2</v>
      </c>
      <c r="E18" s="3">
        <f>SUM(B17:D17)</f>
        <v>0</v>
      </c>
    </row>
    <row r="19" spans="1:5" x14ac:dyDescent="0.2">
      <c r="A19" s="2" t="s">
        <v>18</v>
      </c>
      <c r="B19" s="5">
        <f>B13+(B5*0.2)</f>
        <v>0.65</v>
      </c>
      <c r="C19" s="5">
        <f>C13+(C5*0.2)</f>
        <v>0.74399999999999999</v>
      </c>
      <c r="D19" s="5">
        <f>D13+(D5*0.2)</f>
        <v>0.93100000000000005</v>
      </c>
      <c r="E19" s="5">
        <f>SUMPRODUCT(B18:D18, B3:D3)</f>
        <v>6.9922677002368788E-2</v>
      </c>
    </row>
    <row r="20" spans="1:5" x14ac:dyDescent="0.2">
      <c r="A20" s="2" t="s">
        <v>19</v>
      </c>
      <c r="B20" s="3">
        <f>(B2-B18)/B2</f>
        <v>0.93442622950819665</v>
      </c>
      <c r="C20" s="3">
        <f>(C2-C18)/C2</f>
        <v>0.95670995670995673</v>
      </c>
      <c r="D20" s="3">
        <f>(D2-D18)/D2</f>
        <v>0.99495268138801263</v>
      </c>
      <c r="E20" s="3">
        <f>(E2-E18)/E2</f>
        <v>1</v>
      </c>
    </row>
    <row r="21" spans="1:5" x14ac:dyDescent="0.2">
      <c r="A21" s="2" t="s">
        <v>20</v>
      </c>
      <c r="B21" s="5">
        <f>B5*0.6</f>
        <v>0.03</v>
      </c>
      <c r="C21" s="5">
        <f>C5*0.6</f>
        <v>4.2000000000000003E-2</v>
      </c>
      <c r="D21" s="5">
        <f>D5*0.6</f>
        <v>4.8000000000000001E-2</v>
      </c>
      <c r="E21" s="5">
        <f>SUMPRODUCT(B20:D20, B3:D3)</f>
        <v>0.94716399285670616</v>
      </c>
    </row>
    <row r="22" spans="1:5" x14ac:dyDescent="0.2">
      <c r="A22" s="2" t="s">
        <v>21</v>
      </c>
      <c r="B22" s="5" t="s">
        <v>22</v>
      </c>
      <c r="C22" s="5" t="s">
        <v>23</v>
      </c>
      <c r="D22" s="5" t="s">
        <v>24</v>
      </c>
      <c r="E22" s="5" t="s">
        <v>25</v>
      </c>
    </row>
    <row r="25" spans="1:5" ht="18.75" x14ac:dyDescent="0.25">
      <c r="A25" s="10" t="s">
        <v>26</v>
      </c>
    </row>
    <row r="26" spans="1:5" x14ac:dyDescent="0.2">
      <c r="A26" s="11" t="s">
        <v>27</v>
      </c>
      <c r="B26" s="11" t="s">
        <v>28</v>
      </c>
      <c r="C26" s="11" t="s">
        <v>29</v>
      </c>
    </row>
    <row r="27" spans="1:5" x14ac:dyDescent="0.2">
      <c r="A27" s="2" t="s">
        <v>30</v>
      </c>
      <c r="B27" s="3">
        <v>0.09</v>
      </c>
      <c r="C27" s="3">
        <f>B5</f>
        <v>0.05</v>
      </c>
    </row>
    <row r="28" spans="1:5" x14ac:dyDescent="0.2">
      <c r="A28" s="2" t="s">
        <v>31</v>
      </c>
      <c r="B28" s="3">
        <v>0.05</v>
      </c>
      <c r="C28" s="3">
        <v>0.01</v>
      </c>
    </row>
    <row r="29" spans="1:5" x14ac:dyDescent="0.2">
      <c r="A29" s="12" t="s">
        <v>32</v>
      </c>
      <c r="B29" s="7">
        <f>SUM(B27:B28)</f>
        <v>0.14000000000000001</v>
      </c>
      <c r="C29" s="7">
        <f>SUM(C27:C28)</f>
        <v>6.0000000000000005E-2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2026-09-29T17:47:47Z</dcterms:created>
  <dcterms:modified xsi:type="dcterms:W3CDTF">2026-09-29T17:47:47Z</dcterms:modified>
</cp:coreProperties>
</file>